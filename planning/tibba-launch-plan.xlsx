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  <sheet name="Launch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d d mmm"/>
    <numFmt numFmtId="166" formatCode="ddd d mmm yyyy"/>
    <numFmt numFmtId="167" formatCode="d mmm 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0000FF"/>
    </font>
    <font>
      <name val="Arial"/>
      <b val="1"/>
    </font>
    <font>
      <name val="Arial"/>
      <i val="1"/>
      <color rgb="00555555"/>
    </font>
    <font>
      <name val="Arial"/>
      <b val="1"/>
      <color rgb="00FFFF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2933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6" fontId="2" fillId="2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3" fillId="0" borderId="0" pivotButton="0" quotePrefix="0" xfId="0"/>
    <xf numFmtId="0" fontId="5" fillId="3" borderId="0" applyAlignment="1" pivotButton="0" quotePrefix="0" xfId="0">
      <alignment vertical="center"/>
    </xf>
    <xf numFmtId="0" fontId="5" fillId="3" borderId="0" pivotButton="0" quotePrefix="0" xfId="0"/>
    <xf numFmtId="0" fontId="6" fillId="0" borderId="1" pivotButton="0" quotePrefix="0" xfId="0"/>
    <xf numFmtId="0" fontId="2" fillId="0" borderId="1" pivotButton="0" quotePrefix="0" xfId="0"/>
    <xf numFmtId="165" fontId="6" fillId="0" borderId="1" pivotButton="0" quotePrefix="0" xfId="0"/>
    <xf numFmtId="167" fontId="2" fillId="0" borderId="0" pivotButton="0" quotePrefix="0" xfId="0"/>
    <xf numFmtId="0" fontId="6" fillId="4" borderId="1" pivotButton="0" quotePrefix="0" xfId="0"/>
    <xf numFmtId="0" fontId="2" fillId="4" borderId="1" pivotButton="0" quotePrefix="0" xfId="0"/>
    <xf numFmtId="165" fontId="6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1FADF"/>
        </patternFill>
      </fill>
    </dxf>
    <dxf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7" customWidth="1" min="1" max="1"/>
    <col width="58" customWidth="1" min="2" max="2"/>
    <col width="18" customWidth="1" min="3" max="3"/>
    <col width="9" customWidth="1" min="4" max="4"/>
    <col width="7" customWidth="1" min="5" max="5"/>
    <col width="13" customWidth="1" min="6" max="6"/>
    <col width="13" customWidth="1" min="7" max="7"/>
    <col width="18" customWidth="1" min="8" max="8"/>
    <col width="14" customWidth="1" min="9" max="9"/>
    <col width="48" customWidth="1" min="10" max="10"/>
    <col width="14" customWidth="1" min="14" max="14"/>
  </cols>
  <sheetData>
    <row r="1">
      <c r="A1" s="1" t="inlineStr">
        <is>
          <t>Tibba website — plan to launch</t>
        </is>
      </c>
    </row>
    <row r="3">
      <c r="A3" s="2" t="inlineStr">
        <is>
          <t>Project start</t>
        </is>
      </c>
      <c r="B3" s="3" t="n">
        <v>46309</v>
      </c>
      <c r="D3" s="2" t="inlineStr">
        <is>
          <t>Work days</t>
        </is>
      </c>
      <c r="E3" s="4">
        <f>SUMIF(D9:D21,"Work",E9:E21)</f>
        <v/>
      </c>
      <c r="G3" s="5" t="inlineStr">
        <is>
          <t>How to use: edit only the blue cells (yellow = key dates). Start and End fill in by themselves and skip Saturdays and Sundays.</t>
        </is>
      </c>
    </row>
    <row r="4">
      <c r="A4" s="2" t="inlineStr">
        <is>
          <t>Launch deadline</t>
        </is>
      </c>
      <c r="B4" s="3" t="n">
        <v>46325</v>
      </c>
      <c r="D4" s="2" t="inlineStr">
        <is>
          <t>Buffer days</t>
        </is>
      </c>
      <c r="E4" s="4">
        <f>SUMIF(D9:D21,"Buffer",E9:E21)</f>
        <v/>
      </c>
      <c r="G4" s="5" t="inlineStr">
        <is>
          <t>Holidays: type any day off in the Holidays list (column N) and every later date moves.</t>
        </is>
      </c>
    </row>
    <row r="5">
      <c r="A5" s="2" t="inlineStr">
        <is>
          <t>Planned launch</t>
        </is>
      </c>
      <c r="B5" s="6">
        <f>G21</f>
        <v/>
      </c>
      <c r="D5" s="2" t="inlineStr">
        <is>
          <t>Total weekdays</t>
        </is>
      </c>
      <c r="E5" s="4">
        <f>E3+E4</f>
        <v/>
      </c>
      <c r="G5" s="5" t="inlineStr">
        <is>
          <t>Grey "Buffer" rows are spare time for fixes. Do not plan new work into them.</t>
        </is>
      </c>
    </row>
    <row r="6">
      <c r="A6" s="2" t="inlineStr">
        <is>
          <t>On track?</t>
        </is>
      </c>
      <c r="B6" s="2">
        <f>IF(B5&lt;=B4,"Yes, "&amp;(NETWORKDAYS(B5,B4,N9:N30)-1)&amp;" spare weekday(s)","No, "&amp;(NETWORKDAYS(B4,B5,N9:N30)-1)&amp;" weekday(s) late")</f>
        <v/>
      </c>
    </row>
    <row r="8">
      <c r="A8" s="7" t="inlineStr">
        <is>
          <t>#</t>
        </is>
      </c>
      <c r="B8" s="7" t="inlineStr">
        <is>
          <t>Task</t>
        </is>
      </c>
      <c r="C8" s="7" t="inlineStr">
        <is>
          <t>Phase</t>
        </is>
      </c>
      <c r="D8" s="7" t="inlineStr">
        <is>
          <t>Type</t>
        </is>
      </c>
      <c r="E8" s="7" t="inlineStr">
        <is>
          <t>Days</t>
        </is>
      </c>
      <c r="F8" s="7" t="inlineStr">
        <is>
          <t>Start</t>
        </is>
      </c>
      <c r="G8" s="7" t="inlineStr">
        <is>
          <t>End</t>
        </is>
      </c>
      <c r="H8" s="7" t="inlineStr">
        <is>
          <t>Owner</t>
        </is>
      </c>
      <c r="I8" s="7" t="inlineStr">
        <is>
          <t>Status</t>
        </is>
      </c>
      <c r="J8" s="7" t="inlineStr">
        <is>
          <t>What "done" means</t>
        </is>
      </c>
      <c r="N8" s="8" t="inlineStr">
        <is>
          <t>Holidays</t>
        </is>
      </c>
    </row>
    <row r="9">
      <c r="A9" s="9" t="n">
        <v>1</v>
      </c>
      <c r="B9" s="9" t="inlineStr">
        <is>
          <t>Finish the About page hero</t>
        </is>
      </c>
      <c r="C9" s="9" t="inlineStr">
        <is>
          <t>Design</t>
        </is>
      </c>
      <c r="D9" s="10" t="inlineStr">
        <is>
          <t>Work</t>
        </is>
      </c>
      <c r="E9" s="10" t="n">
        <v>1</v>
      </c>
      <c r="F9" s="11">
        <f>WORKDAY($B$3-1,1,$N$9:$N$30)</f>
        <v/>
      </c>
      <c r="G9" s="11">
        <f>WORKDAY(F9,E9-1,$N$9:$N$30)</f>
        <v/>
      </c>
      <c r="H9" s="10" t="inlineStr">
        <is>
          <t>Designer</t>
        </is>
      </c>
      <c r="I9" s="10" t="inlineStr">
        <is>
          <t>Not started</t>
        </is>
      </c>
      <c r="J9" s="9" t="inlineStr">
        <is>
          <t>Hero approved on desktop and phone</t>
        </is>
      </c>
      <c r="N9" s="12" t="n"/>
    </row>
    <row r="10">
      <c r="A10" s="9" t="n">
        <v>2</v>
      </c>
      <c r="B10" s="9" t="inlineStr">
        <is>
          <t>Case study layout + collect all content (text, images, results)</t>
        </is>
      </c>
      <c r="C10" s="9" t="inlineStr">
        <is>
          <t>Case studies</t>
        </is>
      </c>
      <c r="D10" s="10" t="inlineStr">
        <is>
          <t>Work</t>
        </is>
      </c>
      <c r="E10" s="10" t="n">
        <v>1</v>
      </c>
      <c r="F10" s="11">
        <f>WORKDAY(G9,1,$N$9:$N$30)</f>
        <v/>
      </c>
      <c r="G10" s="11">
        <f>WORKDAY(F10,E10-1,$N$9:$N$30)</f>
        <v/>
      </c>
      <c r="H10" s="10" t="inlineStr">
        <is>
          <t>Designer + client</t>
        </is>
      </c>
      <c r="I10" s="10" t="inlineStr">
        <is>
          <t>Not started</t>
        </is>
      </c>
      <c r="J10" s="9" t="inlineStr">
        <is>
          <t>One shared layout; content for all 4 in one folder</t>
        </is>
      </c>
      <c r="N10" s="12" t="n"/>
    </row>
    <row r="11">
      <c r="A11" s="9" t="n">
        <v>3</v>
      </c>
      <c r="B11" s="9" t="inlineStr">
        <is>
          <t>Case study 1 — Groww</t>
        </is>
      </c>
      <c r="C11" s="9" t="inlineStr">
        <is>
          <t>Case studies</t>
        </is>
      </c>
      <c r="D11" s="10" t="inlineStr">
        <is>
          <t>Work</t>
        </is>
      </c>
      <c r="E11" s="10" t="n">
        <v>1</v>
      </c>
      <c r="F11" s="11">
        <f>WORKDAY(G10,1,$N$9:$N$30)</f>
        <v/>
      </c>
      <c r="G11" s="11">
        <f>WORKDAY(F11,E11-1,$N$9:$N$30)</f>
        <v/>
      </c>
      <c r="H11" s="10" t="inlineStr">
        <is>
          <t>Designer</t>
        </is>
      </c>
      <c r="I11" s="10" t="inlineStr">
        <is>
          <t>Not started</t>
        </is>
      </c>
      <c r="J11" s="9" t="inlineStr">
        <is>
          <t>Page complete, desktop and phone</t>
        </is>
      </c>
      <c r="N11" s="12" t="n"/>
    </row>
    <row r="12">
      <c r="A12" s="9" t="n">
        <v>4</v>
      </c>
      <c r="B12" s="9" t="inlineStr">
        <is>
          <t>Case study 2 — Firstpost</t>
        </is>
      </c>
      <c r="C12" s="9" t="inlineStr">
        <is>
          <t>Case studies</t>
        </is>
      </c>
      <c r="D12" s="10" t="inlineStr">
        <is>
          <t>Work</t>
        </is>
      </c>
      <c r="E12" s="10" t="n">
        <v>1</v>
      </c>
      <c r="F12" s="11">
        <f>WORKDAY(G11,1,$N$9:$N$30)</f>
        <v/>
      </c>
      <c r="G12" s="11">
        <f>WORKDAY(F12,E12-1,$N$9:$N$30)</f>
        <v/>
      </c>
      <c r="H12" s="10" t="inlineStr">
        <is>
          <t>Designer</t>
        </is>
      </c>
      <c r="I12" s="10" t="inlineStr">
        <is>
          <t>Not started</t>
        </is>
      </c>
      <c r="J12" s="9" t="inlineStr">
        <is>
          <t>Page complete, desktop and phone</t>
        </is>
      </c>
      <c r="N12" s="12" t="n"/>
    </row>
    <row r="13">
      <c r="A13" s="9" t="n">
        <v>5</v>
      </c>
      <c r="B13" s="9" t="inlineStr">
        <is>
          <t>Case study 3 — Breathe ESG</t>
        </is>
      </c>
      <c r="C13" s="9" t="inlineStr">
        <is>
          <t>Case studies</t>
        </is>
      </c>
      <c r="D13" s="10" t="inlineStr">
        <is>
          <t>Work</t>
        </is>
      </c>
      <c r="E13" s="10" t="n">
        <v>1</v>
      </c>
      <c r="F13" s="11">
        <f>WORKDAY(G12,1,$N$9:$N$30)</f>
        <v/>
      </c>
      <c r="G13" s="11">
        <f>WORKDAY(F13,E13-1,$N$9:$N$30)</f>
        <v/>
      </c>
      <c r="H13" s="10" t="inlineStr">
        <is>
          <t>Designer</t>
        </is>
      </c>
      <c r="I13" s="10" t="inlineStr">
        <is>
          <t>Not started</t>
        </is>
      </c>
      <c r="J13" s="9" t="inlineStr">
        <is>
          <t>Page complete, desktop and phone</t>
        </is>
      </c>
      <c r="N13" s="12" t="n"/>
    </row>
    <row r="14">
      <c r="A14" s="9" t="n">
        <v>6</v>
      </c>
      <c r="B14" s="9" t="inlineStr">
        <is>
          <t>Case study 4 — Shyft</t>
        </is>
      </c>
      <c r="C14" s="9" t="inlineStr">
        <is>
          <t>Case studies</t>
        </is>
      </c>
      <c r="D14" s="10" t="inlineStr">
        <is>
          <t>Work</t>
        </is>
      </c>
      <c r="E14" s="10" t="n">
        <v>1</v>
      </c>
      <c r="F14" s="11">
        <f>WORKDAY(G13,1,$N$9:$N$30)</f>
        <v/>
      </c>
      <c r="G14" s="11">
        <f>WORKDAY(F14,E14-1,$N$9:$N$30)</f>
        <v/>
      </c>
      <c r="H14" s="10" t="inlineStr">
        <is>
          <t>Designer</t>
        </is>
      </c>
      <c r="I14" s="10" t="inlineStr">
        <is>
          <t>Not started</t>
        </is>
      </c>
      <c r="J14" s="9" t="inlineStr">
        <is>
          <t>Page complete, desktop and phone</t>
        </is>
      </c>
      <c r="N14" s="12" t="n"/>
    </row>
    <row r="15">
      <c r="A15" s="13" t="n">
        <v>7</v>
      </c>
      <c r="B15" s="13" t="inlineStr">
        <is>
          <t>Client review + fixes on all new pages</t>
        </is>
      </c>
      <c r="C15" s="13" t="inlineStr">
        <is>
          <t>Review</t>
        </is>
      </c>
      <c r="D15" s="14" t="inlineStr">
        <is>
          <t>Buffer</t>
        </is>
      </c>
      <c r="E15" s="14" t="n">
        <v>1</v>
      </c>
      <c r="F15" s="15">
        <f>WORKDAY(G14,1,$N$9:$N$30)</f>
        <v/>
      </c>
      <c r="G15" s="15">
        <f>WORKDAY(F15,E15-1,$N$9:$N$30)</f>
        <v/>
      </c>
      <c r="H15" s="14" t="inlineStr">
        <is>
          <t>Client + designer</t>
        </is>
      </c>
      <c r="I15" s="14" t="inlineStr">
        <is>
          <t>Not started</t>
        </is>
      </c>
      <c r="J15" s="13" t="inlineStr">
        <is>
          <t>Written sign-off on hero and 4 case studies</t>
        </is>
      </c>
      <c r="N15" s="12" t="n"/>
    </row>
    <row r="16">
      <c r="A16" s="9" t="n">
        <v>8</v>
      </c>
      <c r="B16" s="9" t="inlineStr">
        <is>
          <t>Phone check of every page, fix layout issues</t>
        </is>
      </c>
      <c r="C16" s="9" t="inlineStr">
        <is>
          <t>Prepare to launch</t>
        </is>
      </c>
      <c r="D16" s="10" t="inlineStr">
        <is>
          <t>Work</t>
        </is>
      </c>
      <c r="E16" s="10" t="n">
        <v>1</v>
      </c>
      <c r="F16" s="11">
        <f>WORKDAY(G15,1,$N$9:$N$30)</f>
        <v/>
      </c>
      <c r="G16" s="11">
        <f>WORKDAY(F16,E16-1,$N$9:$N$30)</f>
        <v/>
      </c>
      <c r="H16" s="10" t="inlineStr">
        <is>
          <t>Designer</t>
        </is>
      </c>
      <c r="I16" s="10" t="inlineStr">
        <is>
          <t>Not started</t>
        </is>
      </c>
      <c r="J16" s="9" t="inlineStr">
        <is>
          <t>Every page checked on a real iPhone and Android</t>
        </is>
      </c>
      <c r="N16" s="12" t="n"/>
    </row>
    <row r="17">
      <c r="A17" s="9" t="n">
        <v>9</v>
      </c>
      <c r="B17" s="9" t="inlineStr">
        <is>
          <t>Domain, hosting, basic SEO and analytics set up</t>
        </is>
      </c>
      <c r="C17" s="9" t="inlineStr">
        <is>
          <t>Prepare to launch</t>
        </is>
      </c>
      <c r="D17" s="10" t="inlineStr">
        <is>
          <t>Work</t>
        </is>
      </c>
      <c r="E17" s="10" t="n">
        <v>1</v>
      </c>
      <c r="F17" s="11">
        <f>WORKDAY(G16,1,$N$9:$N$30)</f>
        <v/>
      </c>
      <c r="G17" s="11">
        <f>WORKDAY(F17,E17-1,$N$9:$N$30)</f>
        <v/>
      </c>
      <c r="H17" s="10" t="inlineStr">
        <is>
          <t>Developer</t>
        </is>
      </c>
      <c r="I17" s="10" t="inlineStr">
        <is>
          <t>Not started</t>
        </is>
      </c>
      <c r="J17" s="9" t="inlineStr">
        <is>
          <t>Launch checklist sections 1, 2 and 4 done</t>
        </is>
      </c>
      <c r="N17" s="12" t="n"/>
    </row>
    <row r="18">
      <c r="A18" s="9" t="n">
        <v>10</v>
      </c>
      <c r="B18" s="9" t="inlineStr">
        <is>
          <t>Speed: compress images and videos, check load time</t>
        </is>
      </c>
      <c r="C18" s="9" t="inlineStr">
        <is>
          <t>Prepare to launch</t>
        </is>
      </c>
      <c r="D18" s="10" t="inlineStr">
        <is>
          <t>Work</t>
        </is>
      </c>
      <c r="E18" s="10" t="n">
        <v>1</v>
      </c>
      <c r="F18" s="11">
        <f>WORKDAY(G17,1,$N$9:$N$30)</f>
        <v/>
      </c>
      <c r="G18" s="11">
        <f>WORKDAY(F18,E18-1,$N$9:$N$30)</f>
        <v/>
      </c>
      <c r="H18" s="10" t="inlineStr">
        <is>
          <t>Developer</t>
        </is>
      </c>
      <c r="I18" s="10" t="inlineStr">
        <is>
          <t>Not started</t>
        </is>
      </c>
      <c r="J18" s="9" t="inlineStr">
        <is>
          <t>Each page loads in under 3 s on 4G</t>
        </is>
      </c>
      <c r="N18" s="12" t="n"/>
    </row>
    <row r="19">
      <c r="A19" s="9" t="n">
        <v>11</v>
      </c>
      <c r="B19" s="9" t="inlineStr">
        <is>
          <t>Full test on browsers and devices, fix bugs</t>
        </is>
      </c>
      <c r="C19" s="9" t="inlineStr">
        <is>
          <t>Prepare to launch</t>
        </is>
      </c>
      <c r="D19" s="10" t="inlineStr">
        <is>
          <t>Work</t>
        </is>
      </c>
      <c r="E19" s="10" t="n">
        <v>1</v>
      </c>
      <c r="F19" s="11">
        <f>WORKDAY(G18,1,$N$9:$N$30)</f>
        <v/>
      </c>
      <c r="G19" s="11">
        <f>WORKDAY(F19,E19-1,$N$9:$N$30)</f>
        <v/>
      </c>
      <c r="H19" s="10" t="inlineStr">
        <is>
          <t>Everyone</t>
        </is>
      </c>
      <c r="I19" s="10" t="inlineStr">
        <is>
          <t>Not started</t>
        </is>
      </c>
      <c r="J19" s="9" t="inlineStr">
        <is>
          <t>Launch checklist section 5 all ticked</t>
        </is>
      </c>
      <c r="N19" s="12" t="n"/>
    </row>
    <row r="20">
      <c r="A20" s="13" t="n">
        <v>12</v>
      </c>
      <c r="B20" s="13" t="inlineStr">
        <is>
          <t>Spare day for anything that broke</t>
        </is>
      </c>
      <c r="C20" s="13" t="inlineStr">
        <is>
          <t>Prepare to launch</t>
        </is>
      </c>
      <c r="D20" s="14" t="inlineStr">
        <is>
          <t>Buffer</t>
        </is>
      </c>
      <c r="E20" s="14" t="n">
        <v>1</v>
      </c>
      <c r="F20" s="15">
        <f>WORKDAY(G19,1,$N$9:$N$30)</f>
        <v/>
      </c>
      <c r="G20" s="15">
        <f>WORKDAY(F20,E20-1,$N$9:$N$30)</f>
        <v/>
      </c>
      <c r="H20" s="14" t="inlineStr">
        <is>
          <t>Everyone</t>
        </is>
      </c>
      <c r="I20" s="14" t="inlineStr">
        <is>
          <t>Not started</t>
        </is>
      </c>
      <c r="J20" s="13" t="inlineStr">
        <is>
          <t>Nothing open, or launch moved</t>
        </is>
      </c>
      <c r="N20" s="12" t="n"/>
    </row>
    <row r="21">
      <c r="A21" s="9" t="n">
        <v>13</v>
      </c>
      <c r="B21" s="9" t="inlineStr">
        <is>
          <t>Launch, then watch for problems for the day</t>
        </is>
      </c>
      <c r="C21" s="9" t="inlineStr">
        <is>
          <t>Launch</t>
        </is>
      </c>
      <c r="D21" s="10" t="inlineStr">
        <is>
          <t>Work</t>
        </is>
      </c>
      <c r="E21" s="10" t="n">
        <v>1</v>
      </c>
      <c r="F21" s="11">
        <f>WORKDAY(G20,1,$N$9:$N$30)</f>
        <v/>
      </c>
      <c r="G21" s="11">
        <f>WORKDAY(F21,E21-1,$N$9:$N$30)</f>
        <v/>
      </c>
      <c r="H21" s="10" t="inlineStr">
        <is>
          <t>Everyone</t>
        </is>
      </c>
      <c r="I21" s="10" t="inlineStr">
        <is>
          <t>Not started</t>
        </is>
      </c>
      <c r="J21" s="9" t="inlineStr">
        <is>
          <t>Live on the real domain; form and analytics working</t>
        </is>
      </c>
      <c r="N21" s="12" t="n"/>
    </row>
    <row r="22">
      <c r="N22" s="12" t="n"/>
    </row>
    <row r="23">
      <c r="N23" s="12" t="n"/>
    </row>
    <row r="24">
      <c r="N24" s="12" t="n"/>
    </row>
    <row r="25">
      <c r="N25" s="12" t="n"/>
    </row>
    <row r="26">
      <c r="N26" s="12" t="n"/>
    </row>
    <row r="27">
      <c r="N27" s="12" t="n"/>
    </row>
    <row r="28">
      <c r="N28" s="12" t="n"/>
    </row>
    <row r="29">
      <c r="N29" s="12" t="n"/>
    </row>
    <row r="30">
      <c r="N30" s="12" t="n"/>
    </row>
  </sheetData>
  <conditionalFormatting sqref="I9:I21">
    <cfRule type="expression" priority="1" dxfId="0">
      <formula>I9="Done"</formula>
    </cfRule>
    <cfRule type="expression" priority="2" dxfId="1">
      <formula>I9="Blocked"</formula>
    </cfRule>
  </conditionalFormatting>
  <conditionalFormatting sqref="B6">
    <cfRule type="expression" priority="3" dxfId="1">
      <formula>$B$5&gt;$B$4</formula>
    </cfRule>
    <cfRule type="expression" priority="4" dxfId="0">
      <formula>$B$5&lt;=$B$4</formula>
    </cfRule>
  </conditionalFormatting>
  <dataValidations count="2">
    <dataValidation sqref="I9:I21" showDropDown="0" showInputMessage="0" showErrorMessage="0" allowBlank="1" type="list">
      <formula1>"Not started,In progress,Done,Blocked"</formula1>
    </dataValidation>
    <dataValidation sqref="D9:D21" showDropDown="0" showInputMessage="0" showErrorMessage="0" allowBlank="0" type="list">
      <formula1>"Work,Buffer"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9" customWidth="1" min="3" max="3"/>
    <col width="40" customWidth="1" min="4" max="4"/>
  </cols>
  <sheetData>
    <row r="1">
      <c r="A1" s="1" t="inlineStr">
        <is>
          <t>Before going live — checklist</t>
        </is>
      </c>
      <c r="F1" s="2" t="inlineStr">
        <is>
          <t>Done</t>
        </is>
      </c>
      <c r="G1" s="2">
        <f>COUNTIF(C5:C36,"Yes")&amp;" of "&amp;(COUNTA(C5:C36)-COUNTIF(C5:C36,"N/A"))</f>
        <v/>
      </c>
    </row>
    <row r="2">
      <c r="A2" s="5" t="inlineStr">
        <is>
          <t>Set "Done?" to Yes as you go (blue column). Use N/A for anything that does not apply.</t>
        </is>
      </c>
    </row>
    <row r="4">
      <c r="A4" s="8" t="inlineStr">
        <is>
          <t>Area</t>
        </is>
      </c>
      <c r="B4" s="8" t="inlineStr">
        <is>
          <t>Item</t>
        </is>
      </c>
      <c r="C4" s="8" t="inlineStr">
        <is>
          <t>Done?</t>
        </is>
      </c>
      <c r="D4" s="8" t="inlineStr">
        <is>
          <t>Notes</t>
        </is>
      </c>
    </row>
    <row r="5">
      <c r="A5" s="9" t="inlineStr">
        <is>
          <t>1. Domain and hosting</t>
        </is>
      </c>
      <c r="B5" s="9" t="inlineStr">
        <is>
          <t>Domain is registered and set to renew automatically (check the card on file)</t>
        </is>
      </c>
      <c r="C5" s="10" t="inlineStr">
        <is>
          <t>No</t>
        </is>
      </c>
      <c r="D5" s="10" t="n"/>
    </row>
    <row r="6">
      <c r="A6" s="9" t="inlineStr">
        <is>
          <t>1. Domain and hosting</t>
        </is>
      </c>
      <c r="B6" s="9" t="inlineStr">
        <is>
          <t>Domain points to the hosting (e.g. Vercel): www and the bare domain both open the site</t>
        </is>
      </c>
      <c r="C6" s="10" t="inlineStr">
        <is>
          <t>No</t>
        </is>
      </c>
      <c r="D6" s="10" t="n"/>
    </row>
    <row r="7">
      <c r="A7" s="9" t="inlineStr">
        <is>
          <t>1. Domain and hosting</t>
        </is>
      </c>
      <c r="B7" s="9" t="inlineStr">
        <is>
          <t>HTTPS padlock on every page; http:// sends visitors to https://</t>
        </is>
      </c>
      <c r="C7" s="10" t="inlineStr">
        <is>
          <t>No</t>
        </is>
      </c>
      <c r="D7" s="10" t="n"/>
    </row>
    <row r="8">
      <c r="A8" s="9" t="inlineStr">
        <is>
          <t>1. Domain and hosting</t>
        </is>
      </c>
      <c r="B8" s="9" t="inlineStr">
        <is>
          <t>One address wins: www goes to the bare domain (or the other way round), never both</t>
        </is>
      </c>
      <c r="C8" s="10" t="inlineStr">
        <is>
          <t>No</t>
        </is>
      </c>
      <c r="D8" s="10" t="n"/>
    </row>
    <row r="9">
      <c r="A9" s="9" t="inlineStr">
        <is>
          <t>1. Domain and hosting</t>
        </is>
      </c>
      <c r="B9" s="9" t="inlineStr">
        <is>
          <t>Old site links (if any) redirect to the matching new pages</t>
        </is>
      </c>
      <c r="C9" s="10" t="inlineStr">
        <is>
          <t>No</t>
        </is>
      </c>
      <c r="D9" s="10" t="n"/>
    </row>
    <row r="10">
      <c r="A10" s="9" t="inlineStr">
        <is>
          <t>1. Domain and hosting</t>
        </is>
      </c>
      <c r="B10" s="9" t="inlineStr">
        <is>
          <t>Email on the domain still works after the switch (check the MX records are unchanged)</t>
        </is>
      </c>
      <c r="C10" s="10" t="inlineStr">
        <is>
          <t>No</t>
        </is>
      </c>
      <c r="D10" s="10" t="n"/>
    </row>
    <row r="11">
      <c r="A11" s="9" t="inlineStr">
        <is>
          <t>2. Basic SEO</t>
        </is>
      </c>
      <c r="B11" s="9" t="inlineStr">
        <is>
          <t>Every page has its own title (under 60 characters) and description (under 155)</t>
        </is>
      </c>
      <c r="C11" s="10" t="inlineStr">
        <is>
          <t>No</t>
        </is>
      </c>
      <c r="D11" s="10" t="n"/>
    </row>
    <row r="12">
      <c r="A12" s="9" t="inlineStr">
        <is>
          <t>2. Basic SEO</t>
        </is>
      </c>
      <c r="B12" s="9" t="inlineStr">
        <is>
          <t>Share image set, so links look right on LinkedIn, WhatsApp and Slack</t>
        </is>
      </c>
      <c r="C12" s="10" t="inlineStr">
        <is>
          <t>No</t>
        </is>
      </c>
      <c r="D12" s="10" t="n"/>
    </row>
    <row r="13">
      <c r="A13" s="9" t="inlineStr">
        <is>
          <t>2. Basic SEO</t>
        </is>
      </c>
      <c r="B13" s="9" t="inlineStr">
        <is>
          <t>Favicon shows in the browser tab</t>
        </is>
      </c>
      <c r="C13" s="10" t="inlineStr">
        <is>
          <t>No</t>
        </is>
      </c>
      <c r="D13" s="10" t="n"/>
    </row>
    <row r="14">
      <c r="A14" s="9" t="inlineStr">
        <is>
          <t>2. Basic SEO</t>
        </is>
      </c>
      <c r="B14" s="9" t="inlineStr">
        <is>
          <t>Every image has short alt text</t>
        </is>
      </c>
      <c r="C14" s="10" t="inlineStr">
        <is>
          <t>No</t>
        </is>
      </c>
      <c r="D14" s="10" t="n"/>
    </row>
    <row r="15">
      <c r="A15" s="9" t="inlineStr">
        <is>
          <t>2. Basic SEO</t>
        </is>
      </c>
      <c r="B15" s="9" t="inlineStr">
        <is>
          <t>One main heading (H1) per page</t>
        </is>
      </c>
      <c r="C15" s="10" t="inlineStr">
        <is>
          <t>No</t>
        </is>
      </c>
      <c r="D15" s="10" t="n"/>
    </row>
    <row r="16">
      <c r="A16" s="9" t="inlineStr">
        <is>
          <t>2. Basic SEO</t>
        </is>
      </c>
      <c r="B16" s="9" t="inlineStr">
        <is>
          <t>sitemap.xml and robots.txt are live; search engines are not blocked</t>
        </is>
      </c>
      <c r="C16" s="10" t="inlineStr">
        <is>
          <t>No</t>
        </is>
      </c>
      <c r="D16" s="10" t="n"/>
    </row>
    <row r="17">
      <c r="A17" s="9" t="inlineStr">
        <is>
          <t>2. Basic SEO</t>
        </is>
      </c>
      <c r="B17" s="9" t="inlineStr">
        <is>
          <t>Site added to Google Search Console and the sitemap submitted</t>
        </is>
      </c>
      <c r="C17" s="10" t="inlineStr">
        <is>
          <t>No</t>
        </is>
      </c>
      <c r="D17" s="10" t="n"/>
    </row>
    <row r="18">
      <c r="A18" s="9" t="inlineStr">
        <is>
          <t>2. Basic SEO</t>
        </is>
      </c>
      <c r="B18" s="9" t="inlineStr">
        <is>
          <t>A friendly 404 page that links back home</t>
        </is>
      </c>
      <c r="C18" s="10" t="inlineStr">
        <is>
          <t>No</t>
        </is>
      </c>
      <c r="D18" s="10" t="n"/>
    </row>
    <row r="19">
      <c r="A19" s="9" t="inlineStr">
        <is>
          <t>3. Speed</t>
        </is>
      </c>
      <c r="B19" s="9" t="inlineStr">
        <is>
          <t>Images compressed (WebP/AVIF), none much larger than they appear on screen</t>
        </is>
      </c>
      <c r="C19" s="10" t="inlineStr">
        <is>
          <t>No</t>
        </is>
      </c>
      <c r="D19" s="10" t="n"/>
    </row>
    <row r="20">
      <c r="A20" s="9" t="inlineStr">
        <is>
          <t>3. Speed</t>
        </is>
      </c>
      <c r="B20" s="9" t="inlineStr">
        <is>
          <t>Videos and 3D load only when scrolled near; nothing heavy before the first screen</t>
        </is>
      </c>
      <c r="C20" s="10" t="inlineStr">
        <is>
          <t>No</t>
        </is>
      </c>
      <c r="D20" s="10" t="n"/>
    </row>
    <row r="21">
      <c r="A21" s="9" t="inlineStr">
        <is>
          <t>3. Speed</t>
        </is>
      </c>
      <c r="B21" s="9" t="inlineStr">
        <is>
          <t>Only the font weights you use are loaded</t>
        </is>
      </c>
      <c r="C21" s="10" t="inlineStr">
        <is>
          <t>No</t>
        </is>
      </c>
      <c r="D21" s="10" t="n"/>
    </row>
    <row r="22">
      <c r="A22" s="9" t="inlineStr">
        <is>
          <t>3. Speed</t>
        </is>
      </c>
      <c r="B22" s="9" t="inlineStr">
        <is>
          <t>Google PageSpeed Insights: 80+ on mobile for Home and one case study</t>
        </is>
      </c>
      <c r="C22" s="10" t="inlineStr">
        <is>
          <t>No</t>
        </is>
      </c>
      <c r="D22" s="10" t="n"/>
    </row>
    <row r="23">
      <c r="A23" s="9" t="inlineStr">
        <is>
          <t>3. Speed</t>
        </is>
      </c>
      <c r="B23" s="9" t="inlineStr">
        <is>
          <t>Tried on a mid-range Android phone on 4G, not only a laptop</t>
        </is>
      </c>
      <c r="C23" s="10" t="inlineStr">
        <is>
          <t>No</t>
        </is>
      </c>
      <c r="D23" s="10" t="n"/>
    </row>
    <row r="24">
      <c r="A24" s="9" t="inlineStr">
        <is>
          <t>4. Tracking and data</t>
        </is>
      </c>
      <c r="B24" s="9" t="inlineStr">
        <is>
          <t>Analytics installed (e.g. Google Analytics 4 or Plausible) and showing your own visit</t>
        </is>
      </c>
      <c r="C24" s="10" t="inlineStr">
        <is>
          <t>No</t>
        </is>
      </c>
      <c r="D24" s="10" t="n"/>
    </row>
    <row r="25">
      <c r="A25" s="9" t="inlineStr">
        <is>
          <t>4. Tracking and data</t>
        </is>
      </c>
      <c r="B25" s="9" t="inlineStr">
        <is>
          <t>Key actions tracked: contact form sent, "Book a call" clicks, case study views</t>
        </is>
      </c>
      <c r="C25" s="10" t="inlineStr">
        <is>
          <t>No</t>
        </is>
      </c>
      <c r="D25" s="10" t="n"/>
    </row>
    <row r="26">
      <c r="A26" s="9" t="inlineStr">
        <is>
          <t>4. Tracking and data</t>
        </is>
      </c>
      <c r="B26" s="9" t="inlineStr">
        <is>
          <t>Contact form delivers to the right inbox (send a real test)</t>
        </is>
      </c>
      <c r="C26" s="10" t="inlineStr">
        <is>
          <t>No</t>
        </is>
      </c>
      <c r="D26" s="10" t="n"/>
    </row>
    <row r="27">
      <c r="A27" s="9" t="inlineStr">
        <is>
          <t>4. Tracking and data</t>
        </is>
      </c>
      <c r="B27" s="9" t="inlineStr">
        <is>
          <t>Cookie / privacy notice if you use Google Analytics or have EU visitors</t>
        </is>
      </c>
      <c r="C27" s="10" t="inlineStr">
        <is>
          <t>No</t>
        </is>
      </c>
      <c r="D27" s="10" t="n"/>
    </row>
    <row r="28">
      <c r="A28" s="9" t="inlineStr">
        <is>
          <t>4. Tracking and data</t>
        </is>
      </c>
      <c r="B28" s="9" t="inlineStr">
        <is>
          <t>Privacy policy page linked in the footer</t>
        </is>
      </c>
      <c r="C28" s="10" t="inlineStr">
        <is>
          <t>No</t>
        </is>
      </c>
      <c r="D28" s="10" t="n"/>
    </row>
    <row r="29">
      <c r="A29" s="9" t="inlineStr">
        <is>
          <t>4. Tracking and data</t>
        </is>
      </c>
      <c r="B29" s="9" t="inlineStr">
        <is>
          <t>Logins (domain, hosting, analytics) have a named owner and are stored safely</t>
        </is>
      </c>
      <c r="C29" s="10" t="inlineStr">
        <is>
          <t>No</t>
        </is>
      </c>
      <c r="D29" s="10" t="n"/>
    </row>
    <row r="30">
      <c r="A30" s="9" t="inlineStr">
        <is>
          <t>5. Final testing</t>
        </is>
      </c>
      <c r="B30" s="9" t="inlineStr">
        <is>
          <t>Desktop: Chrome, Safari, Firefox and Edge</t>
        </is>
      </c>
      <c r="C30" s="10" t="inlineStr">
        <is>
          <t>No</t>
        </is>
      </c>
      <c r="D30" s="10" t="n"/>
    </row>
    <row r="31">
      <c r="A31" s="9" t="inlineStr">
        <is>
          <t>5. Final testing</t>
        </is>
      </c>
      <c r="B31" s="9" t="inlineStr">
        <is>
          <t>Phones: iPhone (Safari) and Android (Chrome)</t>
        </is>
      </c>
      <c r="C31" s="10" t="inlineStr">
        <is>
          <t>No</t>
        </is>
      </c>
      <c r="D31" s="10" t="n"/>
    </row>
    <row r="32">
      <c r="A32" s="9" t="inlineStr">
        <is>
          <t>5. Final testing</t>
        </is>
      </c>
      <c r="B32" s="9" t="inlineStr">
        <is>
          <t>Every link and button clicked once; no dead links</t>
        </is>
      </c>
      <c r="C32" s="10" t="inlineStr">
        <is>
          <t>No</t>
        </is>
      </c>
      <c r="D32" s="10" t="n"/>
    </row>
    <row r="33">
      <c r="A33" s="9" t="inlineStr">
        <is>
          <t>5. Final testing</t>
        </is>
      </c>
      <c r="B33" s="9" t="inlineStr">
        <is>
          <t>All text proofread; names and numbers checked against the client's figures</t>
        </is>
      </c>
      <c r="C33" s="10" t="inlineStr">
        <is>
          <t>No</t>
        </is>
      </c>
      <c r="D33" s="10" t="n"/>
    </row>
    <row r="34">
      <c r="A34" s="9" t="inlineStr">
        <is>
          <t>5. Final testing</t>
        </is>
      </c>
      <c r="B34" s="9" t="inlineStr">
        <is>
          <t>Animations smooth, and pages still usable if a 3D scene fails to load</t>
        </is>
      </c>
      <c r="C34" s="10" t="inlineStr">
        <is>
          <t>No</t>
        </is>
      </c>
      <c r="D34" s="10" t="n"/>
    </row>
    <row r="35">
      <c r="A35" s="9" t="inlineStr">
        <is>
          <t>5. Final testing</t>
        </is>
      </c>
      <c r="B35" s="9" t="inlineStr">
        <is>
          <t>Menus and the form work with the keyboard (Tab key)</t>
        </is>
      </c>
      <c r="C35" s="10" t="inlineStr">
        <is>
          <t>No</t>
        </is>
      </c>
      <c r="D35" s="10" t="n"/>
    </row>
    <row r="36">
      <c r="A36" s="9" t="inlineStr">
        <is>
          <t>5. Final testing</t>
        </is>
      </c>
      <c r="B36" s="9" t="inlineStr">
        <is>
          <t>The previous version can be restored in one click if launch goes wrong</t>
        </is>
      </c>
      <c r="C36" s="10" t="inlineStr">
        <is>
          <t>No</t>
        </is>
      </c>
      <c r="D36" s="10" t="n"/>
    </row>
  </sheetData>
  <conditionalFormatting sqref="C5:C36">
    <cfRule type="expression" priority="1" dxfId="0">
      <formula>C5="Yes"</formula>
    </cfRule>
  </conditionalFormatting>
  <dataValidations count="1">
    <dataValidation sqref="C5:C36" showDropDown="0" showInputMessage="0" showErrorMessage="0" allowBlank="0" type="list">
      <formula1>"Yes,No,N/A"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2026-10-14T08:24:21Z</dcterms:created>
  <dcterms:modified xsi:type="dcterms:W3CDTF">2026-10-14T08:24:21Z</dcterms:modified>
</cp:coreProperties>
</file>